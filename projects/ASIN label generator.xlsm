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mgyashw\Downloads\"/>
    </mc:Choice>
  </mc:AlternateContent>
  <xr:revisionPtr revIDLastSave="0" documentId="13_ncr:1_{6FFAAFEA-6643-4A96-BFA0-A7FD8A8B1E03}" xr6:coauthVersionLast="36" xr6:coauthVersionMax="36" xr10:uidLastSave="{00000000-0000-0000-0000-000000000000}"/>
  <bookViews>
    <workbookView xWindow="0" yWindow="0" windowWidth="19200" windowHeight="6930" activeTab="1" xr2:uid="{21FA7415-41A7-4DD1-B45C-A14488D2FAC1}"/>
  </bookViews>
  <sheets>
    <sheet name="Main" sheetId="4" r:id="rId1"/>
    <sheet name="Base" sheetId="3" r:id="rId2"/>
    <sheet name="Print" sheetId="1" r:id="rId3"/>
    <sheet name="Instructions" sheetId="5"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 i="1" l="1"/>
  <c r="A30" i="1"/>
  <c r="E23" i="1"/>
  <c r="A23" i="1"/>
  <c r="E16" i="1"/>
  <c r="A16" i="1"/>
  <c r="E9" i="1"/>
  <c r="E2" i="1"/>
  <c r="A2" i="1"/>
  <c r="E35" i="1" l="1"/>
  <c r="A35" i="1"/>
  <c r="E28" i="1"/>
  <c r="A28" i="1"/>
  <c r="E21" i="1"/>
  <c r="A21" i="1"/>
  <c r="E14" i="1"/>
  <c r="A14" i="1"/>
  <c r="E7" i="1"/>
  <c r="A7" i="1"/>
  <c r="G34" i="1"/>
  <c r="C34" i="1"/>
  <c r="G27" i="1"/>
  <c r="C27" i="1"/>
  <c r="G20" i="1"/>
  <c r="C20" i="1"/>
  <c r="G13" i="1"/>
  <c r="C13" i="1"/>
  <c r="G6" i="1"/>
  <c r="C6" i="1"/>
  <c r="F34" i="1"/>
  <c r="B34" i="1"/>
  <c r="F27" i="1"/>
  <c r="B27" i="1"/>
  <c r="F20" i="1"/>
  <c r="B20" i="1"/>
  <c r="F13" i="1"/>
  <c r="B13" i="1"/>
  <c r="F6" i="1"/>
  <c r="B6" i="1"/>
  <c r="E33" i="1" l="1"/>
  <c r="A33" i="1"/>
  <c r="E26" i="1"/>
  <c r="A26" i="1"/>
  <c r="A19" i="1"/>
  <c r="E19" i="1"/>
  <c r="E12" i="1"/>
  <c r="A12" i="1"/>
  <c r="E34" i="1"/>
  <c r="A34" i="1"/>
  <c r="E27" i="1"/>
  <c r="A27" i="1"/>
  <c r="E20" i="1"/>
  <c r="A20" i="1"/>
  <c r="E13" i="1"/>
  <c r="A13" i="1"/>
  <c r="E6" i="1"/>
  <c r="A6" i="1"/>
  <c r="F35" i="1"/>
  <c r="B35" i="1"/>
  <c r="F28" i="1"/>
  <c r="B28" i="1"/>
  <c r="F21" i="1"/>
  <c r="B21" i="1"/>
  <c r="F14" i="1"/>
  <c r="B14" i="1"/>
  <c r="F7" i="1"/>
  <c r="B7" i="1"/>
  <c r="A9" i="1"/>
  <c r="E5" i="1"/>
  <c r="A5" i="1" l="1"/>
</calcChain>
</file>

<file path=xl/sharedStrings.xml><?xml version="1.0" encoding="utf-8"?>
<sst xmlns="http://schemas.openxmlformats.org/spreadsheetml/2006/main" count="151" uniqueCount="108">
  <si>
    <t>Title</t>
  </si>
  <si>
    <t>Brand</t>
  </si>
  <si>
    <t>MRP</t>
  </si>
  <si>
    <t>Size</t>
  </si>
  <si>
    <t>ASIN</t>
  </si>
  <si>
    <t>Colour</t>
  </si>
  <si>
    <t>L</t>
  </si>
  <si>
    <t>SL No</t>
  </si>
  <si>
    <t>Enter ASIN Below</t>
  </si>
  <si>
    <t>Amazon Brand - Symbol Men's Solid Regular T-Shirt (Pack of 5) (SS20SYMTEE42-D_Multi-CLR4 XL)</t>
  </si>
  <si>
    <t>Indigo Women's Cotton Straight Kurti (AW17GFT- 009_Turquoise_M_Blue, Turquoise_M)</t>
  </si>
  <si>
    <t>Gritstones Mens Regular Fit Cotton Solid Track Pant with Side Zip Pockets (GSTP2789BLKRBLWHT-L)</t>
  </si>
  <si>
    <t>Longies Mens 100% Cotton Boxers ( Pack of 3 ), Dark Blue,White,Blue3295, M</t>
  </si>
  <si>
    <t>ADRO Triangle Mens Printed T-Shirt (XL, Mustard)</t>
  </si>
  <si>
    <t>Lyned Stretchable Cotton Shorts for Men_Maroon_L</t>
  </si>
  <si>
    <t>Amazon Brand - Symbol Men's Solid Regular T-Shirt (AW17PLPO2-6_Viridian &amp; Inca Gold S)</t>
  </si>
  <si>
    <t>ADRO Color Blocked Cotton T-Shirts for Men (M, Black)</t>
  </si>
  <si>
    <t>GRITSTONES Men's Cotton Blend Full Sleeve Shirt | Stylish Printed Casual Wear Shirt for Mens(Sky Blue White_Large)</t>
  </si>
  <si>
    <t>Scott International Men's Organic Cotton Polo T-Shirt (SS18-SP13-XXL, Turquoise Green with White)</t>
  </si>
  <si>
    <t>GHPC by Arihant Men's Pin Checks Full Sleeves Regular Fit Formal Shirt</t>
  </si>
  <si>
    <t>Indigo Women's Rayon Bubble Hem midi Dress (AW20/IND-1460_Mustard_L)</t>
  </si>
  <si>
    <t>Amazon Brand - Jam &amp; Honey Girl's Plain Regular T-Shirt (JHGTS-FS-1-PO3_Multicolour 9 Years-10 Years)</t>
  </si>
  <si>
    <t>Lyned Regular Fit Cotton Shorts for Men_Maroon_3XL</t>
  </si>
  <si>
    <t>BULLMER Men Blended Cotton Full Sleeve Tshirt - Blue/X-Large</t>
  </si>
  <si>
    <t>GRITSTONES Men's Regular FiT-Shirt (GSOMBHSSHRT2549WHTMGRN_M_White &amp; Green_Medium)</t>
  </si>
  <si>
    <t>Amazon Brand - Jam &amp; Honey Boy's T-Shirt (AW20BTS-FS-PO5_Multicolor 1_2-3 Years_Multicolour_2 Years-3 Years)</t>
  </si>
  <si>
    <t>Alan Jones Clothing Men's Slim Fit Trackpants (JOG19-SP01-NAVY-M_Navy Blue_Medium)</t>
  </si>
  <si>
    <t>ADRO Color Blocked Cotton T-Shirts for Men (XL, Black)</t>
  </si>
  <si>
    <t>Alan Jones Clothing Men's Colorblocked Sleeveless Tshirt Vest (Orange_XL)</t>
  </si>
  <si>
    <t>Artory Mens Round Neck Half Sleeve Cotton T Shirt_AFS_ARMT0016OL_S Olive Green</t>
  </si>
  <si>
    <t>Amazon Brand - Jam &amp; Honey Girl's Regular T-Shirt (AW20GTFSPO5_Multicolor 5_11-12 Years 11-12</t>
  </si>
  <si>
    <t>indigo by Clarks Women's Rayon a-line Kurta (SS20/IND-1382_Navy_Medium)</t>
  </si>
  <si>
    <t>Symbol</t>
  </si>
  <si>
    <t>Indigo</t>
  </si>
  <si>
    <t>Gritstones</t>
  </si>
  <si>
    <t>Longies</t>
  </si>
  <si>
    <t>Adro</t>
  </si>
  <si>
    <t>Lyned</t>
  </si>
  <si>
    <t>Scott International</t>
  </si>
  <si>
    <t>GHPC</t>
  </si>
  <si>
    <t>Jam &amp; Honey</t>
  </si>
  <si>
    <t>BULLMER</t>
  </si>
  <si>
    <t>Alan Jones</t>
  </si>
  <si>
    <t>Artory</t>
  </si>
  <si>
    <t>B081VMQ89M</t>
  </si>
  <si>
    <t>B075SK9TYD</t>
  </si>
  <si>
    <t>B09MKQST91</t>
  </si>
  <si>
    <t>B08X2RVDD7</t>
  </si>
  <si>
    <t>B09PJGQNYH</t>
  </si>
  <si>
    <t>B09235NXLW</t>
  </si>
  <si>
    <t>B073X4TKZ5</t>
  </si>
  <si>
    <t>B09S9Q956P</t>
  </si>
  <si>
    <t>B09DSWXB3P</t>
  </si>
  <si>
    <t>B07DDCF81X</t>
  </si>
  <si>
    <t>B09R97VXMR</t>
  </si>
  <si>
    <t>B08F5TVZJR</t>
  </si>
  <si>
    <t>B0869PPF1Z</t>
  </si>
  <si>
    <t>B09235MZQC</t>
  </si>
  <si>
    <t>B09VDW6BMN</t>
  </si>
  <si>
    <t>B086XFR1V8</t>
  </si>
  <si>
    <t>B08JHBT6CZ</t>
  </si>
  <si>
    <t>B07VVVL2K6</t>
  </si>
  <si>
    <t>B09S9YQNX2</t>
  </si>
  <si>
    <t>B09SCXB88D</t>
  </si>
  <si>
    <t>B0BHRC3RYG</t>
  </si>
  <si>
    <t>B08FXKYNW5</t>
  </si>
  <si>
    <t>B0831LXHBX</t>
  </si>
  <si>
    <t>XL</t>
  </si>
  <si>
    <t>M</t>
  </si>
  <si>
    <t>S</t>
  </si>
  <si>
    <t>2XL</t>
  </si>
  <si>
    <t>Large</t>
  </si>
  <si>
    <t>9 Years-10 Years</t>
  </si>
  <si>
    <t>3XL - 40</t>
  </si>
  <si>
    <t>2 Years-3 Years</t>
  </si>
  <si>
    <t>11-12 Years</t>
  </si>
  <si>
    <t>MULTI-CLR4</t>
  </si>
  <si>
    <t>Turquoise</t>
  </si>
  <si>
    <t>Black</t>
  </si>
  <si>
    <t>Dark Blue,White,Blue3295</t>
  </si>
  <si>
    <t>Mustard</t>
  </si>
  <si>
    <t>Maroon</t>
  </si>
  <si>
    <t>Viridian &amp; Inca Gold</t>
  </si>
  <si>
    <t>Sky Blue White</t>
  </si>
  <si>
    <t>Turquoise Green with White</t>
  </si>
  <si>
    <t>Dark Grey</t>
  </si>
  <si>
    <t>Multicolour</t>
  </si>
  <si>
    <t>Blue</t>
  </si>
  <si>
    <t>White and Moss Green</t>
  </si>
  <si>
    <t>Multicolor 4</t>
  </si>
  <si>
    <t>Navy</t>
  </si>
  <si>
    <t>Orange</t>
  </si>
  <si>
    <t>Olive Green</t>
  </si>
  <si>
    <t>Multicolor 5</t>
  </si>
  <si>
    <t>Step 1</t>
  </si>
  <si>
    <t>Step 2</t>
  </si>
  <si>
    <t>Step 3</t>
  </si>
  <si>
    <t>Step 4</t>
  </si>
  <si>
    <t>Step 5</t>
  </si>
  <si>
    <t xml:space="preserve">Modify print settings first before proceeding with barcode generation. </t>
  </si>
  <si>
    <t>Select below options in print settings</t>
  </si>
  <si>
    <t>Printer: Choose your prefered printer or save as pdf--&gt;Print active sheets--&gt;Print one sided--&gt;Potrait orientation--&gt;Paper Size: A4</t>
  </si>
  <si>
    <t>Note</t>
  </si>
  <si>
    <t>Proceed to Base sheet and copy-paste values in respective columns</t>
  </si>
  <si>
    <t>In Main sheet enter ASINs to generate barcode. Note that you can enter only 10 ASINs at a time.</t>
  </si>
  <si>
    <t>Now click on Print to take print out (Make sure you have followed Step 1 before clicking on Print)</t>
  </si>
  <si>
    <t>Click on clear screen and continue with next list of ASINs</t>
  </si>
  <si>
    <t>Sometimes due to lengthy or incorrect format there will be errors or text outside of margins in barcode labels. So verify Print sheet once and correct it by selecting wrap text if any errors before proceeding with Print.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</si>
</sst>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Red]#,##0.00"/>
  </numFmts>
  <fonts count="5" x14ac:knownFonts="1">
    <font>
      <sz val="11"/>
      <color theme="1"/>
      <name val="Calibri"/>
      <family val="2"/>
      <scheme val="minor"/>
    </font>
    <font>
      <b/>
      <sz val="11"/>
      <color theme="0"/>
      <name val="Calibri"/>
      <family val="2"/>
      <scheme val="minor"/>
    </font>
    <font>
      <sz val="16"/>
      <color theme="1"/>
      <name val="CCode39"/>
    </font>
    <font>
      <b/>
      <sz val="9"/>
      <color theme="1"/>
      <name val="Calibri"/>
      <family val="2"/>
      <scheme val="minor"/>
    </font>
    <font>
      <b/>
      <sz val="8"/>
      <color theme="1"/>
      <name val="Calibri"/>
      <family val="2"/>
      <scheme val="minor"/>
    </font>
  </fonts>
  <fills count="3">
    <fill>
      <patternFill patternType="none"/>
    </fill>
    <fill>
      <patternFill patternType="gray125"/>
    </fill>
    <fill>
      <patternFill patternType="solid">
        <fgColor theme="1"/>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0" fillId="0" borderId="4" xfId="0" applyBorder="1"/>
    <xf numFmtId="0" fontId="0" fillId="0" borderId="0" xfId="0" applyBorder="1"/>
    <xf numFmtId="0" fontId="0" fillId="0" borderId="5" xfId="0" applyBorder="1"/>
    <xf numFmtId="0" fontId="4" fillId="0" borderId="4" xfId="0" applyFont="1" applyBorder="1" applyAlignment="1">
      <alignment horizontal="left" indent="1"/>
    </xf>
    <xf numFmtId="164" fontId="4" fillId="0" borderId="0" xfId="0" applyNumberFormat="1" applyFont="1" applyBorder="1" applyAlignment="1">
      <alignment horizontal="left"/>
    </xf>
    <xf numFmtId="0" fontId="4" fillId="0" borderId="5" xfId="0" applyFont="1" applyBorder="1" applyAlignment="1">
      <alignment horizontal="left" indent="1"/>
    </xf>
    <xf numFmtId="164" fontId="4" fillId="0" borderId="6" xfId="0" applyNumberFormat="1" applyFont="1" applyBorder="1" applyAlignment="1">
      <alignment horizontal="left" vertical="center" wrapText="1" indent="1"/>
    </xf>
    <xf numFmtId="164" fontId="4" fillId="0" borderId="6" xfId="0" applyNumberFormat="1" applyFont="1" applyBorder="1" applyAlignment="1">
      <alignment vertical="center" wrapText="1"/>
    </xf>
    <xf numFmtId="0" fontId="1" fillId="2" borderId="9" xfId="0" applyFont="1" applyFill="1" applyBorder="1" applyAlignment="1">
      <alignment horizontal="center"/>
    </xf>
    <xf numFmtId="0" fontId="0" fillId="0" borderId="9" xfId="0" applyBorder="1" applyAlignment="1">
      <alignment horizontal="center"/>
    </xf>
    <xf numFmtId="0" fontId="0" fillId="0" borderId="0" xfId="0" applyAlignment="1">
      <alignment wrapText="1"/>
    </xf>
    <xf numFmtId="0" fontId="1" fillId="2" borderId="0" xfId="0" applyFont="1" applyFill="1"/>
    <xf numFmtId="0" fontId="1" fillId="0" borderId="0" xfId="0" applyFont="1" applyFill="1"/>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Border="1" applyAlignment="1" applyProtection="1">
      <alignment horizontal="left"/>
      <protection locked="0"/>
    </xf>
    <xf numFmtId="0" fontId="0" fillId="0" borderId="0" xfId="0" applyAlignment="1" applyProtection="1">
      <protection locked="0"/>
    </xf>
    <xf numFmtId="0" fontId="0" fillId="0" borderId="0" xfId="0" applyBorder="1" applyAlignment="1" applyProtection="1">
      <alignment horizontal="left" vertical="center"/>
      <protection locked="0"/>
    </xf>
    <xf numFmtId="0" fontId="1" fillId="2" borderId="0" xfId="0" applyFont="1" applyFill="1" applyAlignment="1" applyProtection="1">
      <alignment horizontal="center"/>
    </xf>
    <xf numFmtId="0" fontId="0" fillId="0" borderId="9" xfId="0" applyBorder="1" applyAlignment="1" applyProtection="1">
      <alignment horizontal="center"/>
      <protection locked="0"/>
    </xf>
    <xf numFmtId="0" fontId="3" fillId="0" borderId="1" xfId="0" applyFont="1" applyBorder="1" applyAlignment="1">
      <alignment horizontal="center" wrapText="1"/>
    </xf>
    <xf numFmtId="0" fontId="3" fillId="0" borderId="2" xfId="0" applyFont="1" applyBorder="1" applyAlignment="1">
      <alignment horizontal="center" wrapText="1"/>
    </xf>
    <xf numFmtId="0" fontId="3" fillId="0" borderId="3" xfId="0" applyFont="1" applyBorder="1" applyAlignment="1">
      <alignment horizontal="center" wrapText="1"/>
    </xf>
    <xf numFmtId="0" fontId="3" fillId="0" borderId="4" xfId="0" applyFont="1" applyBorder="1" applyAlignment="1">
      <alignment horizontal="center" wrapText="1"/>
    </xf>
    <xf numFmtId="0" fontId="3" fillId="0" borderId="0" xfId="0" applyFont="1" applyBorder="1" applyAlignment="1">
      <alignment horizontal="center" wrapText="1"/>
    </xf>
    <xf numFmtId="0" fontId="3" fillId="0" borderId="5" xfId="0" applyFont="1" applyBorder="1" applyAlignment="1">
      <alignment horizontal="center" wrapText="1"/>
    </xf>
    <xf numFmtId="0" fontId="2" fillId="0" borderId="4" xfId="0"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476250</xdr:colOff>
      <xdr:row>15</xdr:row>
      <xdr:rowOff>12700</xdr:rowOff>
    </xdr:from>
    <xdr:to>
      <xdr:col>9</xdr:col>
      <xdr:colOff>476250</xdr:colOff>
      <xdr:row>17</xdr:row>
      <xdr:rowOff>31750</xdr:rowOff>
    </xdr:to>
    <xdr:sp macro="[0]!clear_asin" textlink="">
      <xdr:nvSpPr>
        <xdr:cNvPr id="3" name="Rectangle: Rounded Corners 2">
          <a:extLst>
            <a:ext uri="{FF2B5EF4-FFF2-40B4-BE49-F238E27FC236}">
              <a16:creationId xmlns:a16="http://schemas.microsoft.com/office/drawing/2014/main" id="{79EE95D1-86BE-454B-80DC-D0BA0407AA89}"/>
            </a:ext>
          </a:extLst>
        </xdr:cNvPr>
        <xdr:cNvSpPr/>
      </xdr:nvSpPr>
      <xdr:spPr>
        <a:xfrm>
          <a:off x="6870700" y="2774950"/>
          <a:ext cx="1219200" cy="387350"/>
        </a:xfrm>
        <a:prstGeom prst="roundRect">
          <a:avLst/>
        </a:prstGeom>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screen</a:t>
          </a:r>
        </a:p>
      </xdr:txBody>
    </xdr:sp>
    <xdr:clientData/>
  </xdr:twoCellAnchor>
  <xdr:twoCellAnchor>
    <xdr:from>
      <xdr:col>5</xdr:col>
      <xdr:colOff>266700</xdr:colOff>
      <xdr:row>15</xdr:row>
      <xdr:rowOff>101600</xdr:rowOff>
    </xdr:from>
    <xdr:to>
      <xdr:col>6</xdr:col>
      <xdr:colOff>349250</xdr:colOff>
      <xdr:row>16</xdr:row>
      <xdr:rowOff>173482</xdr:rowOff>
    </xdr:to>
    <xdr:sp macro="" textlink="">
      <xdr:nvSpPr>
        <xdr:cNvPr id="5" name="Arrow: Right 4">
          <a:extLst>
            <a:ext uri="{FF2B5EF4-FFF2-40B4-BE49-F238E27FC236}">
              <a16:creationId xmlns:a16="http://schemas.microsoft.com/office/drawing/2014/main" id="{AEF74F37-590F-4051-BDEB-96A2625BBC9F}"/>
            </a:ext>
          </a:extLst>
        </xdr:cNvPr>
        <xdr:cNvSpPr/>
      </xdr:nvSpPr>
      <xdr:spPr>
        <a:xfrm>
          <a:off x="4540250" y="2863850"/>
          <a:ext cx="457200" cy="256032"/>
        </a:xfrm>
        <a:prstGeom prst="righ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1695450</xdr:colOff>
      <xdr:row>15</xdr:row>
      <xdr:rowOff>82550</xdr:rowOff>
    </xdr:from>
    <xdr:to>
      <xdr:col>7</xdr:col>
      <xdr:colOff>406400</xdr:colOff>
      <xdr:row>16</xdr:row>
      <xdr:rowOff>154432</xdr:rowOff>
    </xdr:to>
    <xdr:sp macro="" textlink="">
      <xdr:nvSpPr>
        <xdr:cNvPr id="6" name="Arrow: Right 5">
          <a:extLst>
            <a:ext uri="{FF2B5EF4-FFF2-40B4-BE49-F238E27FC236}">
              <a16:creationId xmlns:a16="http://schemas.microsoft.com/office/drawing/2014/main" id="{CCDC834D-E8D1-4F09-AAF5-3324B18D491D}"/>
            </a:ext>
          </a:extLst>
        </xdr:cNvPr>
        <xdr:cNvSpPr/>
      </xdr:nvSpPr>
      <xdr:spPr>
        <a:xfrm>
          <a:off x="6343650" y="2844800"/>
          <a:ext cx="457200" cy="256032"/>
        </a:xfrm>
        <a:prstGeom prst="righ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234950</xdr:colOff>
      <xdr:row>15</xdr:row>
      <xdr:rowOff>19050</xdr:rowOff>
    </xdr:from>
    <xdr:to>
      <xdr:col>5</xdr:col>
      <xdr:colOff>203200</xdr:colOff>
      <xdr:row>17</xdr:row>
      <xdr:rowOff>50800</xdr:rowOff>
    </xdr:to>
    <xdr:sp macro="" textlink="">
      <xdr:nvSpPr>
        <xdr:cNvPr id="7" name="Rectangle: Rounded Corners 6">
          <a:extLst>
            <a:ext uri="{FF2B5EF4-FFF2-40B4-BE49-F238E27FC236}">
              <a16:creationId xmlns:a16="http://schemas.microsoft.com/office/drawing/2014/main" id="{FA6A5E89-7CF9-4AE3-88ED-0954082AF96C}"/>
            </a:ext>
          </a:extLst>
        </xdr:cNvPr>
        <xdr:cNvSpPr/>
      </xdr:nvSpPr>
      <xdr:spPr>
        <a:xfrm>
          <a:off x="3289300" y="2781300"/>
          <a:ext cx="1187450" cy="400050"/>
        </a:xfrm>
        <a:prstGeom prst="roundRect">
          <a:avLst/>
        </a:prstGeom>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ENTER 10</a:t>
          </a:r>
          <a:r>
            <a:rPr lang="en-US" sz="1100" b="1" baseline="0"/>
            <a:t> </a:t>
          </a:r>
          <a:r>
            <a:rPr lang="en-US" sz="1100" b="1"/>
            <a:t>ASINs</a:t>
          </a:r>
        </a:p>
      </xdr:txBody>
    </xdr:sp>
    <xdr:clientData/>
  </xdr:twoCellAnchor>
  <xdr:twoCellAnchor>
    <xdr:from>
      <xdr:col>6</xdr:col>
      <xdr:colOff>419100</xdr:colOff>
      <xdr:row>15</xdr:row>
      <xdr:rowOff>6350</xdr:rowOff>
    </xdr:from>
    <xdr:to>
      <xdr:col>6</xdr:col>
      <xdr:colOff>1625600</xdr:colOff>
      <xdr:row>17</xdr:row>
      <xdr:rowOff>25400</xdr:rowOff>
    </xdr:to>
    <xdr:sp macro="[0]!print_barcode" textlink="">
      <xdr:nvSpPr>
        <xdr:cNvPr id="8" name="Rectangle: Rounded Corners 7">
          <a:extLst>
            <a:ext uri="{FF2B5EF4-FFF2-40B4-BE49-F238E27FC236}">
              <a16:creationId xmlns:a16="http://schemas.microsoft.com/office/drawing/2014/main" id="{E1BD3F6A-56B6-4158-845E-09F6B4C79CFB}"/>
            </a:ext>
          </a:extLst>
        </xdr:cNvPr>
        <xdr:cNvSpPr/>
      </xdr:nvSpPr>
      <xdr:spPr>
        <a:xfrm>
          <a:off x="5067300" y="2768600"/>
          <a:ext cx="1206500" cy="387350"/>
        </a:xfrm>
        <a:prstGeom prst="roundRect">
          <a:avLst/>
        </a:prstGeom>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FF00"/>
              </a:solidFill>
            </a:rPr>
            <a:t>PRINT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06A3681-F820-48A9-9884-BCB5F649C2C5}">
  <we:reference id="e504fb41-a92a-4526-b101-542f357b7acb" version="1.12.1.0" store="\\ant.amazon.com\dept\Retail-Assistant\Retail-Assistant-Main\RAE\manifests\prod"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DE307-2F3F-44B7-8913-5F32228DBD18}">
  <sheetPr codeName="Sheet2"/>
  <dimension ref="F1:G12"/>
  <sheetViews>
    <sheetView showGridLines="0" workbookViewId="0">
      <selection activeCell="K11" sqref="K11"/>
    </sheetView>
  </sheetViews>
  <sheetFormatPr defaultRowHeight="14.5" x14ac:dyDescent="0.35"/>
  <cols>
    <col min="2" max="2" width="26.26953125" customWidth="1"/>
    <col min="6" max="6" width="5.36328125" bestFit="1" customWidth="1"/>
    <col min="7" max="7" width="25" customWidth="1"/>
  </cols>
  <sheetData>
    <row r="1" spans="6:7" x14ac:dyDescent="0.35">
      <c r="F1" s="9" t="s">
        <v>7</v>
      </c>
      <c r="G1" s="9" t="s">
        <v>8</v>
      </c>
    </row>
    <row r="2" spans="6:7" x14ac:dyDescent="0.35">
      <c r="F2" s="10"/>
      <c r="G2" s="10"/>
    </row>
    <row r="3" spans="6:7" x14ac:dyDescent="0.35">
      <c r="F3" s="9">
        <v>1</v>
      </c>
      <c r="G3" s="21" t="s">
        <v>44</v>
      </c>
    </row>
    <row r="4" spans="6:7" x14ac:dyDescent="0.35">
      <c r="F4" s="9">
        <v>2</v>
      </c>
      <c r="G4" s="21" t="s">
        <v>45</v>
      </c>
    </row>
    <row r="5" spans="6:7" x14ac:dyDescent="0.35">
      <c r="F5" s="9">
        <v>3</v>
      </c>
      <c r="G5" s="21" t="s">
        <v>46</v>
      </c>
    </row>
    <row r="6" spans="6:7" x14ac:dyDescent="0.35">
      <c r="F6" s="9">
        <v>4</v>
      </c>
      <c r="G6" s="21" t="s">
        <v>47</v>
      </c>
    </row>
    <row r="7" spans="6:7" x14ac:dyDescent="0.35">
      <c r="F7" s="9">
        <v>5</v>
      </c>
      <c r="G7" s="21" t="s">
        <v>48</v>
      </c>
    </row>
    <row r="8" spans="6:7" x14ac:dyDescent="0.35">
      <c r="F8" s="9">
        <v>6</v>
      </c>
      <c r="G8" s="21" t="s">
        <v>49</v>
      </c>
    </row>
    <row r="9" spans="6:7" x14ac:dyDescent="0.35">
      <c r="F9" s="9">
        <v>7</v>
      </c>
      <c r="G9" s="21" t="s">
        <v>50</v>
      </c>
    </row>
    <row r="10" spans="6:7" x14ac:dyDescent="0.35">
      <c r="F10" s="9">
        <v>8</v>
      </c>
      <c r="G10" s="21" t="s">
        <v>51</v>
      </c>
    </row>
    <row r="11" spans="6:7" x14ac:dyDescent="0.35">
      <c r="F11" s="9">
        <v>9</v>
      </c>
      <c r="G11" s="21" t="s">
        <v>52</v>
      </c>
    </row>
    <row r="12" spans="6:7" x14ac:dyDescent="0.35">
      <c r="F12" s="9">
        <v>10</v>
      </c>
      <c r="G12" s="21" t="s">
        <v>53</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E8297-AA07-406B-9481-3E2A15D624EA}">
  <sheetPr codeName="Sheet3"/>
  <dimension ref="A1:I26"/>
  <sheetViews>
    <sheetView tabSelected="1" workbookViewId="0">
      <selection activeCell="J5" sqref="J5"/>
    </sheetView>
  </sheetViews>
  <sheetFormatPr defaultRowHeight="14.5" x14ac:dyDescent="0.35"/>
  <cols>
    <col min="1" max="1" width="13.26953125" style="15" bestFit="1" customWidth="1"/>
    <col min="2" max="2" width="44.6328125" style="18" customWidth="1"/>
    <col min="3" max="3" width="16.26953125" style="16" bestFit="1" customWidth="1"/>
    <col min="4" max="4" width="8.7265625" style="15"/>
    <col min="5" max="5" width="9.36328125" style="15" bestFit="1" customWidth="1"/>
    <col min="6" max="6" width="8.7265625" style="16"/>
    <col min="7" max="8" width="8.7265625" style="15"/>
    <col min="9" max="9" width="5.36328125" style="16" bestFit="1" customWidth="1"/>
    <col min="10" max="10" width="26" style="15" customWidth="1"/>
    <col min="11" max="16384" width="8.7265625" style="15"/>
  </cols>
  <sheetData>
    <row r="1" spans="1:6" x14ac:dyDescent="0.35">
      <c r="A1" s="20" t="s">
        <v>4</v>
      </c>
      <c r="B1" s="20" t="s">
        <v>0</v>
      </c>
      <c r="C1" s="20" t="s">
        <v>1</v>
      </c>
      <c r="D1" s="20" t="s">
        <v>3</v>
      </c>
      <c r="E1" s="20" t="s">
        <v>5</v>
      </c>
      <c r="F1" s="20" t="s">
        <v>2</v>
      </c>
    </row>
    <row r="3" spans="1:6" x14ac:dyDescent="0.35">
      <c r="A3" s="17" t="s">
        <v>44</v>
      </c>
      <c r="B3" s="18" t="s">
        <v>9</v>
      </c>
      <c r="C3" s="16" t="s">
        <v>32</v>
      </c>
      <c r="D3" s="16" t="s">
        <v>67</v>
      </c>
      <c r="E3" s="15" t="s">
        <v>76</v>
      </c>
      <c r="F3" s="16">
        <v>3495</v>
      </c>
    </row>
    <row r="4" spans="1:6" x14ac:dyDescent="0.35">
      <c r="A4" s="19" t="s">
        <v>45</v>
      </c>
      <c r="B4" s="18" t="s">
        <v>10</v>
      </c>
      <c r="C4" s="16" t="s">
        <v>33</v>
      </c>
      <c r="D4" s="16" t="s">
        <v>68</v>
      </c>
      <c r="E4" s="15" t="s">
        <v>77</v>
      </c>
      <c r="F4" s="16">
        <v>599</v>
      </c>
    </row>
    <row r="5" spans="1:6" x14ac:dyDescent="0.35">
      <c r="A5" s="19" t="s">
        <v>46</v>
      </c>
      <c r="B5" s="18" t="s">
        <v>11</v>
      </c>
      <c r="C5" s="16" t="s">
        <v>34</v>
      </c>
      <c r="D5" s="16" t="s">
        <v>6</v>
      </c>
      <c r="E5" s="15" t="s">
        <v>78</v>
      </c>
      <c r="F5" s="16">
        <v>1599</v>
      </c>
    </row>
    <row r="6" spans="1:6" x14ac:dyDescent="0.35">
      <c r="A6" s="17" t="s">
        <v>47</v>
      </c>
      <c r="B6" s="18" t="s">
        <v>12</v>
      </c>
      <c r="C6" s="16" t="s">
        <v>35</v>
      </c>
      <c r="D6" s="16" t="s">
        <v>68</v>
      </c>
      <c r="E6" s="15" t="s">
        <v>79</v>
      </c>
      <c r="F6" s="16">
        <v>1497</v>
      </c>
    </row>
    <row r="7" spans="1:6" x14ac:dyDescent="0.35">
      <c r="A7" s="19" t="s">
        <v>48</v>
      </c>
      <c r="B7" s="18" t="s">
        <v>13</v>
      </c>
      <c r="C7" s="16" t="s">
        <v>36</v>
      </c>
      <c r="D7" s="16" t="s">
        <v>67</v>
      </c>
      <c r="E7" s="15" t="s">
        <v>80</v>
      </c>
      <c r="F7" s="16">
        <v>1499</v>
      </c>
    </row>
    <row r="8" spans="1:6" x14ac:dyDescent="0.35">
      <c r="A8" s="17" t="s">
        <v>49</v>
      </c>
      <c r="B8" s="18" t="s">
        <v>14</v>
      </c>
      <c r="C8" s="16" t="s">
        <v>37</v>
      </c>
      <c r="D8" s="16" t="s">
        <v>6</v>
      </c>
      <c r="E8" s="15" t="s">
        <v>81</v>
      </c>
      <c r="F8" s="16">
        <v>2499</v>
      </c>
    </row>
    <row r="9" spans="1:6" x14ac:dyDescent="0.35">
      <c r="A9" s="17" t="s">
        <v>50</v>
      </c>
      <c r="B9" s="18" t="s">
        <v>15</v>
      </c>
      <c r="C9" s="16" t="s">
        <v>32</v>
      </c>
      <c r="D9" s="16" t="s">
        <v>69</v>
      </c>
      <c r="E9" s="15" t="s">
        <v>82</v>
      </c>
      <c r="F9" s="16">
        <v>1398</v>
      </c>
    </row>
    <row r="10" spans="1:6" x14ac:dyDescent="0.35">
      <c r="A10" s="17" t="s">
        <v>51</v>
      </c>
      <c r="B10" s="18" t="s">
        <v>16</v>
      </c>
      <c r="C10" s="16" t="s">
        <v>36</v>
      </c>
      <c r="D10" s="16" t="s">
        <v>68</v>
      </c>
      <c r="E10" s="15" t="s">
        <v>78</v>
      </c>
      <c r="F10" s="16">
        <v>1499</v>
      </c>
    </row>
    <row r="11" spans="1:6" x14ac:dyDescent="0.35">
      <c r="A11" s="17" t="s">
        <v>52</v>
      </c>
      <c r="B11" s="18" t="s">
        <v>17</v>
      </c>
      <c r="C11" s="16" t="s">
        <v>34</v>
      </c>
      <c r="D11" s="16" t="s">
        <v>6</v>
      </c>
      <c r="E11" s="15" t="s">
        <v>83</v>
      </c>
      <c r="F11" s="16">
        <v>1699</v>
      </c>
    </row>
    <row r="12" spans="1:6" x14ac:dyDescent="0.35">
      <c r="A12" s="17" t="s">
        <v>53</v>
      </c>
      <c r="B12" s="18" t="s">
        <v>18</v>
      </c>
      <c r="C12" s="16" t="s">
        <v>38</v>
      </c>
      <c r="D12" s="16" t="s">
        <v>70</v>
      </c>
      <c r="E12" s="15" t="s">
        <v>84</v>
      </c>
      <c r="F12" s="16">
        <v>1499</v>
      </c>
    </row>
    <row r="13" spans="1:6" x14ac:dyDescent="0.35">
      <c r="A13" s="17" t="s">
        <v>54</v>
      </c>
      <c r="B13" s="18" t="s">
        <v>19</v>
      </c>
      <c r="C13" s="16" t="s">
        <v>39</v>
      </c>
      <c r="D13" s="16">
        <v>40</v>
      </c>
      <c r="E13" s="15" t="s">
        <v>85</v>
      </c>
      <c r="F13" s="16">
        <v>1799</v>
      </c>
    </row>
    <row r="14" spans="1:6" x14ac:dyDescent="0.35">
      <c r="A14" s="17" t="s">
        <v>55</v>
      </c>
      <c r="B14" s="18" t="s">
        <v>20</v>
      </c>
      <c r="C14" s="16" t="s">
        <v>33</v>
      </c>
      <c r="D14" s="16" t="s">
        <v>71</v>
      </c>
      <c r="E14" s="15" t="s">
        <v>80</v>
      </c>
      <c r="F14" s="16">
        <v>2199</v>
      </c>
    </row>
    <row r="15" spans="1:6" x14ac:dyDescent="0.35">
      <c r="A15" s="17" t="s">
        <v>56</v>
      </c>
      <c r="B15" s="18" t="s">
        <v>21</v>
      </c>
      <c r="C15" s="16" t="s">
        <v>40</v>
      </c>
      <c r="D15" s="16" t="s">
        <v>72</v>
      </c>
      <c r="E15" s="15" t="s">
        <v>86</v>
      </c>
      <c r="F15" s="16">
        <v>1797</v>
      </c>
    </row>
    <row r="16" spans="1:6" x14ac:dyDescent="0.35">
      <c r="A16" s="17" t="s">
        <v>57</v>
      </c>
      <c r="B16" s="18" t="s">
        <v>22</v>
      </c>
      <c r="C16" s="16" t="s">
        <v>37</v>
      </c>
      <c r="D16" s="16" t="s">
        <v>73</v>
      </c>
      <c r="E16" s="15" t="s">
        <v>81</v>
      </c>
      <c r="F16" s="16">
        <v>2499</v>
      </c>
    </row>
    <row r="17" spans="1:6" x14ac:dyDescent="0.35">
      <c r="A17" s="17" t="s">
        <v>58</v>
      </c>
      <c r="B17" s="18" t="s">
        <v>23</v>
      </c>
      <c r="C17" s="16" t="s">
        <v>41</v>
      </c>
      <c r="D17" s="16" t="s">
        <v>67</v>
      </c>
      <c r="E17" s="15" t="s">
        <v>87</v>
      </c>
      <c r="F17" s="16">
        <v>799</v>
      </c>
    </row>
    <row r="18" spans="1:6" x14ac:dyDescent="0.35">
      <c r="A18" s="17" t="s">
        <v>59</v>
      </c>
      <c r="B18" s="18" t="s">
        <v>24</v>
      </c>
      <c r="C18" s="16" t="s">
        <v>34</v>
      </c>
      <c r="D18" s="16" t="s">
        <v>68</v>
      </c>
      <c r="E18" s="15" t="s">
        <v>88</v>
      </c>
      <c r="F18" s="16">
        <v>1499</v>
      </c>
    </row>
    <row r="19" spans="1:6" x14ac:dyDescent="0.35">
      <c r="A19" s="17" t="s">
        <v>60</v>
      </c>
      <c r="B19" s="18" t="s">
        <v>25</v>
      </c>
      <c r="C19" s="16" t="s">
        <v>40</v>
      </c>
      <c r="D19" s="16" t="s">
        <v>74</v>
      </c>
      <c r="E19" s="15" t="s">
        <v>89</v>
      </c>
      <c r="F19" s="16">
        <v>2995</v>
      </c>
    </row>
    <row r="20" spans="1:6" x14ac:dyDescent="0.35">
      <c r="A20" s="17" t="s">
        <v>61</v>
      </c>
      <c r="B20" s="18" t="s">
        <v>26</v>
      </c>
      <c r="C20" s="16" t="s">
        <v>42</v>
      </c>
      <c r="D20" s="16" t="s">
        <v>68</v>
      </c>
      <c r="E20" s="15" t="s">
        <v>90</v>
      </c>
      <c r="F20" s="16">
        <v>1399</v>
      </c>
    </row>
    <row r="21" spans="1:6" x14ac:dyDescent="0.35">
      <c r="A21" s="17" t="s">
        <v>62</v>
      </c>
      <c r="B21" s="18" t="s">
        <v>27</v>
      </c>
      <c r="C21" s="16" t="s">
        <v>36</v>
      </c>
      <c r="D21" s="16" t="s">
        <v>67</v>
      </c>
      <c r="E21" s="15" t="s">
        <v>78</v>
      </c>
      <c r="F21" s="16">
        <v>1499</v>
      </c>
    </row>
    <row r="22" spans="1:6" x14ac:dyDescent="0.35">
      <c r="A22" s="17" t="s">
        <v>62</v>
      </c>
      <c r="B22" s="18" t="s">
        <v>27</v>
      </c>
      <c r="C22" s="16" t="s">
        <v>36</v>
      </c>
      <c r="D22" s="16" t="s">
        <v>67</v>
      </c>
      <c r="E22" s="15" t="s">
        <v>78</v>
      </c>
      <c r="F22" s="16">
        <v>1499</v>
      </c>
    </row>
    <row r="23" spans="1:6" x14ac:dyDescent="0.35">
      <c r="A23" s="17" t="s">
        <v>63</v>
      </c>
      <c r="B23" s="18" t="s">
        <v>28</v>
      </c>
      <c r="C23" s="16" t="s">
        <v>42</v>
      </c>
      <c r="D23" s="16" t="s">
        <v>67</v>
      </c>
      <c r="E23" s="15" t="s">
        <v>91</v>
      </c>
      <c r="F23" s="16">
        <v>999</v>
      </c>
    </row>
    <row r="24" spans="1:6" x14ac:dyDescent="0.35">
      <c r="A24" s="17" t="s">
        <v>64</v>
      </c>
      <c r="B24" s="15" t="s">
        <v>29</v>
      </c>
      <c r="C24" s="16" t="s">
        <v>43</v>
      </c>
      <c r="D24" s="16" t="s">
        <v>69</v>
      </c>
      <c r="E24" s="15" t="s">
        <v>92</v>
      </c>
      <c r="F24" s="16">
        <v>699</v>
      </c>
    </row>
    <row r="25" spans="1:6" x14ac:dyDescent="0.35">
      <c r="A25" s="17" t="s">
        <v>65</v>
      </c>
      <c r="B25" s="18" t="s">
        <v>30</v>
      </c>
      <c r="C25" s="16" t="s">
        <v>40</v>
      </c>
      <c r="D25" s="16" t="s">
        <v>75</v>
      </c>
      <c r="E25" s="15" t="s">
        <v>93</v>
      </c>
      <c r="F25" s="16">
        <v>2995</v>
      </c>
    </row>
    <row r="26" spans="1:6" x14ac:dyDescent="0.35">
      <c r="A26" s="17" t="s">
        <v>66</v>
      </c>
      <c r="B26" s="18" t="s">
        <v>31</v>
      </c>
      <c r="C26" s="16" t="s">
        <v>33</v>
      </c>
      <c r="D26" s="16" t="s">
        <v>68</v>
      </c>
      <c r="E26" s="15" t="s">
        <v>90</v>
      </c>
      <c r="F26" s="16">
        <v>1399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6640-D360-4F7F-8F0D-BACE65C03000}">
  <sheetPr codeName="Sheet1"/>
  <dimension ref="A1:G35"/>
  <sheetViews>
    <sheetView showGridLines="0" workbookViewId="0">
      <selection activeCell="E35" sqref="E35"/>
    </sheetView>
  </sheetViews>
  <sheetFormatPr defaultRowHeight="14.5" x14ac:dyDescent="0.35"/>
  <cols>
    <col min="1" max="1" width="15.7265625" customWidth="1"/>
    <col min="2" max="2" width="11.90625" customWidth="1"/>
    <col min="3" max="3" width="12.36328125" customWidth="1"/>
    <col min="4" max="4" width="3.26953125" customWidth="1"/>
    <col min="5" max="5" width="16.453125" customWidth="1"/>
    <col min="6" max="6" width="11.453125" bestFit="1" customWidth="1"/>
    <col min="7" max="7" width="11.81640625" customWidth="1"/>
  </cols>
  <sheetData>
    <row r="1" spans="1:7" ht="15" thickBot="1" x14ac:dyDescent="0.4"/>
    <row r="2" spans="1:7" ht="19.5" customHeight="1" x14ac:dyDescent="0.35">
      <c r="A2" s="22" t="str">
        <f>VLOOKUP(Main!G3,Base!$A:$F,2,0)</f>
        <v>Amazon Brand - Symbol Men's Solid Regular T-Shirt (Pack of 5) (SS20SYMTEE42-D_Multi-CLR4 XL)</v>
      </c>
      <c r="B2" s="23"/>
      <c r="C2" s="24"/>
      <c r="E2" s="22" t="str">
        <f>VLOOKUP(Main!G4,Base!$A:$F,2,0)</f>
        <v>Indigo Women's Cotton Straight Kurti (AW17GFT- 009_Turquoise_M_Blue, Turquoise_M)</v>
      </c>
      <c r="F2" s="23"/>
      <c r="G2" s="24"/>
    </row>
    <row r="3" spans="1:7" x14ac:dyDescent="0.35">
      <c r="A3" s="25"/>
      <c r="B3" s="26"/>
      <c r="C3" s="27"/>
      <c r="E3" s="25"/>
      <c r="F3" s="26"/>
      <c r="G3" s="27"/>
    </row>
    <row r="4" spans="1:7" ht="14.5" customHeight="1" x14ac:dyDescent="0.35">
      <c r="A4" s="1"/>
      <c r="B4" s="2"/>
      <c r="C4" s="3"/>
      <c r="E4" s="1"/>
      <c r="F4" s="2"/>
      <c r="G4" s="3"/>
    </row>
    <row r="5" spans="1:7" ht="46" x14ac:dyDescent="1.7">
      <c r="A5" s="28" t="str">
        <f>"*"&amp;Main!G3&amp;"*"</f>
        <v>*B081VMQ89M*</v>
      </c>
      <c r="B5" s="29"/>
      <c r="C5" s="30"/>
      <c r="E5" s="28" t="str">
        <f>"*"&amp;Main!G4&amp;"*"</f>
        <v>*B075SK9TYD*</v>
      </c>
      <c r="F5" s="29"/>
      <c r="G5" s="30"/>
    </row>
    <row r="6" spans="1:7" x14ac:dyDescent="0.35">
      <c r="A6" s="4" t="str">
        <f>"ASIN:"&amp;" "&amp;VLOOKUP(Main!G3,Base!$A:$F,1,0)</f>
        <v>ASIN: B081VMQ89M</v>
      </c>
      <c r="B6" s="5" t="str">
        <f>"MRP:"&amp;" "&amp;VLOOKUP(Main!G3,Base!$A:$F,6,0)</f>
        <v>MRP: 3495</v>
      </c>
      <c r="C6" s="6" t="str">
        <f>"SIZE:"&amp;" "&amp;VLOOKUP(Main!G3,Base!$A:$F,4,0)</f>
        <v>SIZE: XL</v>
      </c>
      <c r="E6" s="4" t="str">
        <f>"ASIN:"&amp;" "&amp;VLOOKUP(Main!G4,Base!$A:$F,1,0)</f>
        <v>ASIN: B075SK9TYD</v>
      </c>
      <c r="F6" s="5" t="str">
        <f>"MRP:"&amp;" "&amp;VLOOKUP(Main!G4,Base!$A:$F,6,0)</f>
        <v>MRP: 599</v>
      </c>
      <c r="G6" s="6" t="str">
        <f>"SIZE:"&amp;" "&amp;VLOOKUP(Main!G4,Base!$A:$F,4,0)</f>
        <v>SIZE: M</v>
      </c>
    </row>
    <row r="7" spans="1:7" ht="15" thickBot="1" x14ac:dyDescent="0.4">
      <c r="A7" s="7" t="str">
        <f>"BRAND:"&amp;" "&amp;VLOOKUP(Main!G3,Base!$A:$F,3,0)</f>
        <v>BRAND: Symbol</v>
      </c>
      <c r="B7" s="31" t="str">
        <f>"Color:"&amp;" "&amp;VLOOKUP(Main!G3,Base!$A:$F,5,0)</f>
        <v>Color: MULTI-CLR4</v>
      </c>
      <c r="C7" s="32"/>
      <c r="E7" s="7" t="str">
        <f>"BRAND:"&amp;" "&amp;VLOOKUP(Main!G4,Base!$A:$F,3,0)</f>
        <v>BRAND: Indigo</v>
      </c>
      <c r="F7" s="31" t="str">
        <f>"Color:"&amp;" "&amp;VLOOKUP(Main!G4,Base!$A:$F,5,0)</f>
        <v>Color: Turquoise</v>
      </c>
      <c r="G7" s="32"/>
    </row>
    <row r="8" spans="1:7" ht="15" thickBot="1" x14ac:dyDescent="0.4"/>
    <row r="9" spans="1:7" ht="17.5" customHeight="1" x14ac:dyDescent="0.35">
      <c r="A9" s="22" t="str">
        <f>VLOOKUP(Main!G5,Base!$A:$F,2,0)</f>
        <v>Gritstones Mens Regular Fit Cotton Solid Track Pant with Side Zip Pockets (GSTP2789BLKRBLWHT-L)</v>
      </c>
      <c r="B9" s="23"/>
      <c r="C9" s="24"/>
      <c r="E9" s="22" t="str">
        <f>VLOOKUP(Main!G6,Base!$A:$F,2,0)</f>
        <v>Longies Mens 100% Cotton Boxers ( Pack of 3 ), Dark Blue,White,Blue3295, M</v>
      </c>
      <c r="F9" s="23"/>
      <c r="G9" s="24"/>
    </row>
    <row r="10" spans="1:7" x14ac:dyDescent="0.35">
      <c r="A10" s="25"/>
      <c r="B10" s="26"/>
      <c r="C10" s="27"/>
      <c r="E10" s="25"/>
      <c r="F10" s="26"/>
      <c r="G10" s="27"/>
    </row>
    <row r="11" spans="1:7" x14ac:dyDescent="0.35">
      <c r="A11" s="1"/>
      <c r="B11" s="2"/>
      <c r="C11" s="3"/>
      <c r="E11" s="1"/>
      <c r="F11" s="2"/>
      <c r="G11" s="3"/>
    </row>
    <row r="12" spans="1:7" ht="46" x14ac:dyDescent="1.7">
      <c r="A12" s="28" t="str">
        <f>"*"&amp;Main!G5&amp;"*"</f>
        <v>*B09MKQST91*</v>
      </c>
      <c r="B12" s="29"/>
      <c r="C12" s="30"/>
      <c r="E12" s="28" t="str">
        <f>"*"&amp;Main!G6&amp;"*"</f>
        <v>*B08X2RVDD7*</v>
      </c>
      <c r="F12" s="29"/>
      <c r="G12" s="30"/>
    </row>
    <row r="13" spans="1:7" x14ac:dyDescent="0.35">
      <c r="A13" s="4" t="str">
        <f>"ASIN:"&amp;" "&amp;VLOOKUP(Main!G5,Base!$A:$F,1,0)</f>
        <v>ASIN: B09MKQST91</v>
      </c>
      <c r="B13" s="5" t="str">
        <f>"MRP:"&amp;" "&amp;VLOOKUP(Main!G5,Base!$A:$F,6,0)</f>
        <v>MRP: 1599</v>
      </c>
      <c r="C13" s="6" t="str">
        <f>"SIZE:"&amp;" "&amp;VLOOKUP(Main!G5,Base!$A:$F,4,0)</f>
        <v>SIZE: L</v>
      </c>
      <c r="E13" s="4" t="str">
        <f>"ASIN:"&amp;" "&amp;VLOOKUP(Main!G6,Base!$A:$F,1,0)</f>
        <v>ASIN: B08X2RVDD7</v>
      </c>
      <c r="F13" s="5" t="str">
        <f>"MRP:"&amp;" "&amp;VLOOKUP(Main!G6,Base!$A:$F,6,0)</f>
        <v>MRP: 1497</v>
      </c>
      <c r="G13" s="6" t="str">
        <f>"SIZE:"&amp;" "&amp;VLOOKUP(Main!G6,Base!$A:$F,4,0)</f>
        <v>SIZE: M</v>
      </c>
    </row>
    <row r="14" spans="1:7" ht="15" thickBot="1" x14ac:dyDescent="0.4">
      <c r="A14" s="7" t="str">
        <f>"BRAND:"&amp;" "&amp;VLOOKUP(Main!G5,Base!$A:$F,3,0)</f>
        <v>BRAND: Gritstones</v>
      </c>
      <c r="B14" s="31" t="str">
        <f>"Color:"&amp;" "&amp;VLOOKUP(Main!G5,Base!$A:$F,5,0)</f>
        <v>Color: Black</v>
      </c>
      <c r="C14" s="32"/>
      <c r="E14" s="7" t="str">
        <f>"BRAND:"&amp;" "&amp;VLOOKUP(Main!G6,Base!$A:$F,3,0)</f>
        <v>BRAND: Longies</v>
      </c>
      <c r="F14" s="31" t="str">
        <f>"Color:"&amp;" "&amp;VLOOKUP(Main!G6,Base!$A:$F,5,0)</f>
        <v>Color: Dark Blue,White,Blue3295</v>
      </c>
      <c r="G14" s="32"/>
    </row>
    <row r="15" spans="1:7" ht="15" thickBot="1" x14ac:dyDescent="0.4"/>
    <row r="16" spans="1:7" x14ac:dyDescent="0.35">
      <c r="A16" s="22" t="str">
        <f>VLOOKUP(Main!G7,Base!$A:$F,2,0)</f>
        <v>ADRO Triangle Mens Printed T-Shirt (XL, Mustard)</v>
      </c>
      <c r="B16" s="23"/>
      <c r="C16" s="24"/>
      <c r="E16" s="22" t="str">
        <f>VLOOKUP(Main!G8,Base!$A:$F,2,0)</f>
        <v>Lyned Stretchable Cotton Shorts for Men_Maroon_L</v>
      </c>
      <c r="F16" s="23"/>
      <c r="G16" s="24"/>
    </row>
    <row r="17" spans="1:7" ht="22.5" customHeight="1" x14ac:dyDescent="0.35">
      <c r="A17" s="25"/>
      <c r="B17" s="26"/>
      <c r="C17" s="27"/>
      <c r="E17" s="25"/>
      <c r="F17" s="26"/>
      <c r="G17" s="27"/>
    </row>
    <row r="18" spans="1:7" x14ac:dyDescent="0.35">
      <c r="A18" s="1"/>
      <c r="B18" s="2"/>
      <c r="C18" s="3"/>
      <c r="E18" s="1"/>
      <c r="F18" s="2"/>
      <c r="G18" s="3"/>
    </row>
    <row r="19" spans="1:7" ht="46" x14ac:dyDescent="1.7">
      <c r="A19" s="28" t="str">
        <f>"*"&amp;Main!G7&amp;"*"</f>
        <v>*B09PJGQNYH*</v>
      </c>
      <c r="B19" s="29"/>
      <c r="C19" s="30"/>
      <c r="E19" s="28" t="str">
        <f>"*"&amp;Main!G8&amp;"*"</f>
        <v>*B09235NXLW*</v>
      </c>
      <c r="F19" s="29"/>
      <c r="G19" s="30"/>
    </row>
    <row r="20" spans="1:7" x14ac:dyDescent="0.35">
      <c r="A20" s="4" t="str">
        <f>"ASIN:"&amp;" "&amp;VLOOKUP(Main!G7,Base!$A:$F,1,0)</f>
        <v>ASIN: B09PJGQNYH</v>
      </c>
      <c r="B20" s="5" t="str">
        <f>"MRP:"&amp;" "&amp;VLOOKUP(Main!G7,Base!$A:$F,6,0)</f>
        <v>MRP: 1499</v>
      </c>
      <c r="C20" s="6" t="str">
        <f>"SIZE:"&amp;" "&amp;VLOOKUP(Main!G7,Base!$A:$F,4,0)</f>
        <v>SIZE: XL</v>
      </c>
      <c r="E20" s="4" t="str">
        <f>"ASIN:"&amp;" "&amp;VLOOKUP(Main!G8,Base!$A:$F,1,0)</f>
        <v>ASIN: B09235NXLW</v>
      </c>
      <c r="F20" s="5" t="str">
        <f>"MRP:"&amp;" "&amp;VLOOKUP(Main!G8,Base!$A:$F,6,0)</f>
        <v>MRP: 2499</v>
      </c>
      <c r="G20" s="6" t="str">
        <f>"SIZE:"&amp;" "&amp;VLOOKUP(Main!G8,Base!$A:$F,4,0)</f>
        <v>SIZE: L</v>
      </c>
    </row>
    <row r="21" spans="1:7" ht="15" thickBot="1" x14ac:dyDescent="0.4">
      <c r="A21" s="7" t="str">
        <f>"BRAND:"&amp;" "&amp;VLOOKUP(Main!G7,Base!$A:$F,3,0)</f>
        <v>BRAND: Adro</v>
      </c>
      <c r="B21" s="31" t="str">
        <f>"Color:"&amp;" "&amp;VLOOKUP(Main!G7,Base!$A:$F,5,0)</f>
        <v>Color: Mustard</v>
      </c>
      <c r="C21" s="32"/>
      <c r="E21" s="7" t="str">
        <f>"BRAND:"&amp;" "&amp;VLOOKUP(Main!G8,Base!$A:$F,3,0)</f>
        <v>BRAND: Lyned</v>
      </c>
      <c r="F21" s="31" t="str">
        <f>"Color:"&amp;" "&amp;VLOOKUP(Main!G8,Base!$A:$F,5,0)</f>
        <v>Color: Maroon</v>
      </c>
      <c r="G21" s="32"/>
    </row>
    <row r="22" spans="1:7" ht="15" thickBot="1" x14ac:dyDescent="0.4"/>
    <row r="23" spans="1:7" ht="18" customHeight="1" x14ac:dyDescent="0.35">
      <c r="A23" s="22" t="str">
        <f>VLOOKUP(Main!G9,Base!$A:$F,2,0)</f>
        <v>Amazon Brand - Symbol Men's Solid Regular T-Shirt (AW17PLPO2-6_Viridian &amp; Inca Gold S)</v>
      </c>
      <c r="B23" s="23"/>
      <c r="C23" s="24"/>
      <c r="E23" s="22" t="str">
        <f>VLOOKUP(Main!G10,Base!$A:$F,2,0)</f>
        <v>ADRO Color Blocked Cotton T-Shirts for Men (M, Black)</v>
      </c>
      <c r="F23" s="23"/>
      <c r="G23" s="24"/>
    </row>
    <row r="24" spans="1:7" x14ac:dyDescent="0.35">
      <c r="A24" s="25"/>
      <c r="B24" s="26"/>
      <c r="C24" s="27"/>
      <c r="E24" s="25"/>
      <c r="F24" s="26"/>
      <c r="G24" s="27"/>
    </row>
    <row r="25" spans="1:7" x14ac:dyDescent="0.35">
      <c r="A25" s="1"/>
      <c r="B25" s="2"/>
      <c r="C25" s="3"/>
      <c r="E25" s="1"/>
      <c r="F25" s="2"/>
      <c r="G25" s="3"/>
    </row>
    <row r="26" spans="1:7" ht="46" x14ac:dyDescent="1.7">
      <c r="A26" s="28" t="str">
        <f>"*"&amp;Main!G9&amp;"*"</f>
        <v>*B073X4TKZ5*</v>
      </c>
      <c r="B26" s="29"/>
      <c r="C26" s="30"/>
      <c r="E26" s="28" t="str">
        <f>"*"&amp;Main!G10&amp;"*"</f>
        <v>*B09S9Q956P*</v>
      </c>
      <c r="F26" s="29"/>
      <c r="G26" s="30"/>
    </row>
    <row r="27" spans="1:7" x14ac:dyDescent="0.35">
      <c r="A27" s="4" t="str">
        <f>"ASIN:"&amp;" "&amp;VLOOKUP(Main!G9,Base!$A:$F,1,0)</f>
        <v>ASIN: B073X4TKZ5</v>
      </c>
      <c r="B27" s="5" t="str">
        <f>"MRP:"&amp;" "&amp;VLOOKUP(Main!G9,Base!$A:$F,6,0)</f>
        <v>MRP: 1398</v>
      </c>
      <c r="C27" s="6" t="str">
        <f>"SIZE:"&amp;" "&amp;VLOOKUP(Main!G9,Base!$A:$F,4,0)</f>
        <v>SIZE: S</v>
      </c>
      <c r="E27" s="4" t="str">
        <f>"ASIN:"&amp;" "&amp;VLOOKUP(Main!G10,Base!$A:$F,1,0)</f>
        <v>ASIN: B09S9Q956P</v>
      </c>
      <c r="F27" s="5" t="str">
        <f>"MRP:"&amp;" "&amp;VLOOKUP(Main!G10,Base!$A:$F,6,0)</f>
        <v>MRP: 1499</v>
      </c>
      <c r="G27" s="6" t="str">
        <f>"SIZE:"&amp;" "&amp;VLOOKUP(Main!G10,Base!$A:$F,4,0)</f>
        <v>SIZE: M</v>
      </c>
    </row>
    <row r="28" spans="1:7" ht="15" thickBot="1" x14ac:dyDescent="0.4">
      <c r="A28" s="7" t="str">
        <f>"BRAND:"&amp;" "&amp;VLOOKUP(Main!G9,Base!$A:$F,3,0)</f>
        <v>BRAND: Symbol</v>
      </c>
      <c r="B28" s="31" t="str">
        <f>"Color:"&amp;" "&amp;VLOOKUP(Main!G9,Base!$A:$F,5,0)</f>
        <v>Color: Viridian &amp; Inca Gold</v>
      </c>
      <c r="C28" s="32"/>
      <c r="E28" s="7" t="str">
        <f>"BRAND:"&amp;" "&amp;VLOOKUP(Main!G10,Base!$A:$F,3,0)</f>
        <v>BRAND: Adro</v>
      </c>
      <c r="F28" s="31" t="str">
        <f>"Color:"&amp;" "&amp;VLOOKUP(Main!G10,Base!$A:$F,5,0)</f>
        <v>Color: Black</v>
      </c>
      <c r="G28" s="32"/>
    </row>
    <row r="29" spans="1:7" ht="15" thickBot="1" x14ac:dyDescent="0.4"/>
    <row r="30" spans="1:7" ht="22" customHeight="1" x14ac:dyDescent="0.35">
      <c r="A30" s="22" t="str">
        <f>VLOOKUP(Main!G11,Base!$A:$F,2,0)</f>
        <v>GRITSTONES Men's Cotton Blend Full Sleeve Shirt | Stylish Printed Casual Wear Shirt for Mens(Sky Blue White_Large)</v>
      </c>
      <c r="B30" s="23"/>
      <c r="C30" s="24"/>
      <c r="E30" s="22" t="str">
        <f>VLOOKUP(Main!G12,Base!$A:$F,2,0)</f>
        <v>Scott International Men's Organic Cotton Polo T-Shirt (SS18-SP13-XXL, Turquoise Green with White)</v>
      </c>
      <c r="F30" s="23"/>
      <c r="G30" s="24"/>
    </row>
    <row r="31" spans="1:7" ht="17.5" customHeight="1" x14ac:dyDescent="0.35">
      <c r="A31" s="25"/>
      <c r="B31" s="26"/>
      <c r="C31" s="27"/>
      <c r="E31" s="25"/>
      <c r="F31" s="26"/>
      <c r="G31" s="27"/>
    </row>
    <row r="32" spans="1:7" x14ac:dyDescent="0.35">
      <c r="A32" s="1"/>
      <c r="B32" s="2"/>
      <c r="C32" s="3"/>
      <c r="E32" s="1"/>
      <c r="F32" s="2"/>
      <c r="G32" s="3"/>
    </row>
    <row r="33" spans="1:7" ht="46" x14ac:dyDescent="1.7">
      <c r="A33" s="28" t="str">
        <f>"*"&amp;Main!G11&amp;"*"</f>
        <v>*B09DSWXB3P*</v>
      </c>
      <c r="B33" s="29"/>
      <c r="C33" s="30"/>
      <c r="E33" s="28" t="str">
        <f>"*"&amp;Main!G12&amp;"*"</f>
        <v>*B07DDCF81X*</v>
      </c>
      <c r="F33" s="29"/>
      <c r="G33" s="30"/>
    </row>
    <row r="34" spans="1:7" x14ac:dyDescent="0.35">
      <c r="A34" s="4" t="str">
        <f>"ASIN:"&amp;" "&amp;VLOOKUP(Main!G11,Base!$A:$F,1,0)</f>
        <v>ASIN: B09DSWXB3P</v>
      </c>
      <c r="B34" s="5" t="str">
        <f>"MRP:"&amp;" "&amp;VLOOKUP(Main!G11,Base!$A:$F,6,0)</f>
        <v>MRP: 1699</v>
      </c>
      <c r="C34" s="6" t="str">
        <f>"SIZE:"&amp;" "&amp;VLOOKUP(Main!G11,Base!$A:$F,4,0)</f>
        <v>SIZE: L</v>
      </c>
      <c r="E34" s="4" t="str">
        <f>"ASIN:"&amp;" "&amp;VLOOKUP(Main!G12,Base!$A:$F,1,0)</f>
        <v>ASIN: B07DDCF81X</v>
      </c>
      <c r="F34" s="5" t="str">
        <f>"MRP:"&amp;" "&amp;VLOOKUP(Main!G12,Base!$A:$F,6,0)</f>
        <v>MRP: 1499</v>
      </c>
      <c r="G34" s="6" t="str">
        <f>"SIZE:"&amp;" "&amp;VLOOKUP(Main!G12,Base!$A:$F,4,0)</f>
        <v>SIZE: 2XL</v>
      </c>
    </row>
    <row r="35" spans="1:7" ht="21.5" thickBot="1" x14ac:dyDescent="0.4">
      <c r="A35" s="7" t="str">
        <f>"BRAND:"&amp;" "&amp;VLOOKUP(Main!G11,Base!$A:$F,3,0)</f>
        <v>BRAND: Gritstones</v>
      </c>
      <c r="B35" s="31" t="str">
        <f>"Color:"&amp;" "&amp;VLOOKUP(Main!G11,Base!$A:$F,5,0)</f>
        <v>Color: Sky Blue White</v>
      </c>
      <c r="C35" s="32"/>
      <c r="E35" s="8" t="str">
        <f>"BRAND:"&amp;" "&amp;VLOOKUP(Main!G12,Base!$A:$F,3,0)</f>
        <v>BRAND: Scott International</v>
      </c>
      <c r="F35" s="31" t="str">
        <f>"Color:"&amp;" "&amp;VLOOKUP(Main!G12,Base!$A:$F,5,0)</f>
        <v>Color: Turquoise Green with White</v>
      </c>
      <c r="G35" s="32"/>
    </row>
  </sheetData>
  <sheetProtection algorithmName="SHA-512" hashValue="/LNKd0yQdEZ0Y9GbyNPBQjRF/YnaA0aSH7eldOdivQM5qwtnXEQgKUqhgk5cvrlqDM+ddWSM0/P07T99Vx02ew==" saltValue="CSCc0s1T1ecs9NHK4K9Vyg==" spinCount="100000" sheet="1" objects="1" scenarios="1"/>
  <mergeCells count="30">
    <mergeCell ref="A2:C3"/>
    <mergeCell ref="B7:C7"/>
    <mergeCell ref="A5:C5"/>
    <mergeCell ref="E2:G3"/>
    <mergeCell ref="E5:G5"/>
    <mergeCell ref="F7:G7"/>
    <mergeCell ref="A9:C10"/>
    <mergeCell ref="A12:C12"/>
    <mergeCell ref="B14:C14"/>
    <mergeCell ref="E9:G10"/>
    <mergeCell ref="E12:G12"/>
    <mergeCell ref="F14:G14"/>
    <mergeCell ref="A16:C17"/>
    <mergeCell ref="A19:C19"/>
    <mergeCell ref="B21:C21"/>
    <mergeCell ref="E16:G17"/>
    <mergeCell ref="E19:G19"/>
    <mergeCell ref="F21:G21"/>
    <mergeCell ref="A23:C24"/>
    <mergeCell ref="A26:C26"/>
    <mergeCell ref="B28:C28"/>
    <mergeCell ref="E23:G24"/>
    <mergeCell ref="E26:G26"/>
    <mergeCell ref="F28:G28"/>
    <mergeCell ref="A30:C31"/>
    <mergeCell ref="A33:C33"/>
    <mergeCell ref="B35:C35"/>
    <mergeCell ref="E30:G31"/>
    <mergeCell ref="E33:G33"/>
    <mergeCell ref="F35:G35"/>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5121C-71F9-4C43-871C-D4B6AC73B8CE}">
  <sheetPr codeName="Sheet4"/>
  <dimension ref="A2:B14"/>
  <sheetViews>
    <sheetView workbookViewId="0">
      <selection activeCell="G13" sqref="G13"/>
    </sheetView>
  </sheetViews>
  <sheetFormatPr defaultRowHeight="14.5" x14ac:dyDescent="0.35"/>
  <cols>
    <col min="2" max="2" width="58.81640625" style="11" customWidth="1"/>
  </cols>
  <sheetData>
    <row r="2" spans="1:2" ht="29" x14ac:dyDescent="0.35">
      <c r="A2" s="12" t="s">
        <v>94</v>
      </c>
      <c r="B2" s="14" t="s">
        <v>99</v>
      </c>
    </row>
    <row r="3" spans="1:2" x14ac:dyDescent="0.35">
      <c r="A3" s="13"/>
      <c r="B3" s="14" t="s">
        <v>100</v>
      </c>
    </row>
    <row r="4" spans="1:2" ht="29" x14ac:dyDescent="0.35">
      <c r="A4" s="13"/>
      <c r="B4" s="14" t="s">
        <v>101</v>
      </c>
    </row>
    <row r="5" spans="1:2" x14ac:dyDescent="0.35">
      <c r="A5" s="13"/>
      <c r="B5" s="14"/>
    </row>
    <row r="6" spans="1:2" x14ac:dyDescent="0.35">
      <c r="A6" s="12" t="s">
        <v>95</v>
      </c>
      <c r="B6" s="14" t="s">
        <v>103</v>
      </c>
    </row>
    <row r="7" spans="1:2" x14ac:dyDescent="0.35">
      <c r="A7" s="13"/>
      <c r="B7" s="14"/>
    </row>
    <row r="8" spans="1:2" ht="29" x14ac:dyDescent="0.35">
      <c r="A8" s="12" t="s">
        <v>96</v>
      </c>
      <c r="B8" s="14" t="s">
        <v>104</v>
      </c>
    </row>
    <row r="9" spans="1:2" x14ac:dyDescent="0.35">
      <c r="A9" s="13"/>
      <c r="B9" s="14"/>
    </row>
    <row r="10" spans="1:2" ht="29" x14ac:dyDescent="0.35">
      <c r="A10" s="12" t="s">
        <v>97</v>
      </c>
      <c r="B10" s="14" t="s">
        <v>105</v>
      </c>
    </row>
    <row r="11" spans="1:2" x14ac:dyDescent="0.35">
      <c r="A11" s="13"/>
      <c r="B11" s="14"/>
    </row>
    <row r="12" spans="1:2" x14ac:dyDescent="0.35">
      <c r="A12" s="12" t="s">
        <v>98</v>
      </c>
      <c r="B12" s="14" t="s">
        <v>106</v>
      </c>
    </row>
    <row r="13" spans="1:2" x14ac:dyDescent="0.35">
      <c r="A13" s="13"/>
      <c r="B13" s="14"/>
    </row>
    <row r="14" spans="1:2" ht="58" x14ac:dyDescent="0.35">
      <c r="A14" s="12" t="s">
        <v>102</v>
      </c>
      <c r="B14" s="14" t="s">
        <v>107</v>
      </c>
    </row>
  </sheetData>
  <sheetProtection algorithmName="SHA-512" hashValue="S3+mD0yEvZnxy3OPS4BxnkhYhHRnegWB5Hl70dYYnP0hDdt66Fwb88sx27Qzcx0xaBdshRR2bDjtXMkVU/kdSA==" saltValue="QEvL/dlzMOx2FL/zl4Qwvw=="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Base</vt:lpstr>
      <vt:lpstr>Print</vt:lpstr>
      <vt:lpstr>Instructions</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MG, Yashwanth</dc:creator>
  <cp:lastModifiedBy>MG, Yashwanth</cp:lastModifiedBy>
  <cp:lastPrinted>2022-11-23T08:29:02Z</cp:lastPrinted>
  <dcterms:created xsi:type="dcterms:W3CDTF">2022-11-03T13:45:18Z</dcterms:created>
  <dcterms:modified xsi:type="dcterms:W3CDTF">2022-11-23T11:15:40Z</dcterms:modified>
</cp:coreProperties>
</file>